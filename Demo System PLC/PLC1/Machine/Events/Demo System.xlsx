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Demo_System\Demo System PLC\PLC1\Machine\Events\"/>
    </mc:Choice>
  </mc:AlternateContent>
  <xr:revisionPtr revIDLastSave="0" documentId="13_ncr:1_{82188BE1-8F01-4B7D-930E-80422777D2A0}" xr6:coauthVersionLast="36" xr6:coauthVersionMax="47" xr10:uidLastSave="{00000000-0000-0000-0000-000000000000}"/>
  <bookViews>
    <workbookView xWindow="-28920" yWindow="1155" windowWidth="29040" windowHeight="16440" activeTab="2" xr2:uid="{486191D1-0D36-49DF-97C3-4593B96A7F54}"/>
  </bookViews>
  <sheets>
    <sheet name="Translations" sheetId="2" r:id="rId1"/>
    <sheet name="EventClasses" sheetId="3" r:id="rId2"/>
    <sheet name="MotionlinxAI_Axis" sheetId="14" r:id="rId3"/>
    <sheet name="PullWheels" sheetId="11" r:id="rId4"/>
    <sheet name="Sealer" sheetId="12" r:id="rId5"/>
    <sheet name="Unwind" sheetId="13" r:id="rId6"/>
    <sheet name="DemoSystem" sheetId="10" r:id="rId7"/>
    <sheet name="TemplateEventClass" sheetId="6" r:id="rId8"/>
    <sheet name="HiddenDataTypes" sheetId="4" r:id="rId9"/>
    <sheet name="Helper" sheetId="5" state="hidden" r:id="rId10"/>
    <sheet name="EventClassHashTable" sheetId="7" state="hidden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4" l="1" a="1"/>
  <c r="D10" i="14" s="1"/>
  <c r="D5" i="14" l="1" a="1"/>
  <c r="D5" i="14" s="1"/>
  <c r="D6" i="14" a="1"/>
  <c r="D6" i="14" s="1"/>
  <c r="D7" i="14" a="1"/>
  <c r="D7" i="14" s="1"/>
  <c r="D8" i="14" a="1"/>
  <c r="D8" i="14" s="1"/>
  <c r="D9" i="14" a="1"/>
  <c r="D9" i="14" s="1"/>
  <c r="D4" i="14" a="1"/>
  <c r="D4" i="14" s="1"/>
  <c r="D3" i="14" a="1"/>
  <c r="D3" i="14" s="1"/>
  <c r="D4" i="13" l="1" a="1"/>
  <c r="D4" i="13" s="1"/>
  <c r="D5" i="13" a="1"/>
  <c r="D5" i="13" s="1"/>
  <c r="D6" i="13" a="1"/>
  <c r="D6" i="13" s="1"/>
  <c r="D3" i="13" a="1"/>
  <c r="D3" i="13" s="1"/>
  <c r="D4" i="11" a="1"/>
  <c r="D4" i="11" s="1"/>
  <c r="D5" i="11" a="1"/>
  <c r="D5" i="11" s="1"/>
  <c r="D6" i="11" a="1"/>
  <c r="D6" i="11" s="1"/>
  <c r="D5" i="12" a="1"/>
  <c r="D5" i="12" s="1"/>
  <c r="D6" i="12" a="1"/>
  <c r="D6" i="12" s="1"/>
  <c r="D7" i="12" a="1"/>
  <c r="D7" i="12" s="1"/>
  <c r="D6" i="10" a="1"/>
  <c r="D6" i="10" s="1"/>
  <c r="D7" i="10" a="1"/>
  <c r="D7" i="10" s="1"/>
  <c r="D5" i="10" a="1"/>
  <c r="D5" i="10" s="1"/>
  <c r="D4" i="12" a="1"/>
  <c r="D4" i="12" s="1"/>
  <c r="D3" i="12" a="1"/>
  <c r="D3" i="12" s="1"/>
  <c r="D3" i="11" a="1"/>
  <c r="D3" i="11" s="1"/>
  <c r="D4" i="10" a="1"/>
  <c r="D4" i="10" s="1"/>
  <c r="D3" i="10" a="1"/>
  <c r="D3" i="10" s="1"/>
  <c r="D4" i="6" a="1"/>
  <c r="D4" i="6" s="1"/>
  <c r="D3" i="6" a="1"/>
  <c r="D3" i="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<sst xmlns="http://schemas.openxmlformats.org/spreadsheetml/2006/main" count="284" uniqueCount="126">
  <si>
    <t>Key</t>
  </si>
  <si>
    <t>German (1031)</t>
  </si>
  <si>
    <t>English (1033)</t>
  </si>
  <si>
    <t>French (1036)</t>
  </si>
  <si>
    <t>Spanish (1034)</t>
  </si>
  <si>
    <t>Dutch (1043)</t>
  </si>
  <si>
    <t>Turkish (1055)</t>
  </si>
  <si>
    <t>Czech (1029)</t>
  </si>
  <si>
    <t>Polish (1045)</t>
  </si>
  <si>
    <t>Russian (1049)</t>
  </si>
  <si>
    <t>Serbian (3098)</t>
  </si>
  <si>
    <t>Name</t>
  </si>
  <si>
    <t>Namespace</t>
  </si>
  <si>
    <t>Guid</t>
  </si>
  <si>
    <t>Display Text</t>
  </si>
  <si>
    <t>Comment</t>
  </si>
  <si>
    <t>EventClass</t>
  </si>
  <si>
    <t>Severity</t>
  </si>
  <si>
    <t>Verbose</t>
  </si>
  <si>
    <t>Info</t>
  </si>
  <si>
    <t>Warning</t>
  </si>
  <si>
    <t>Error</t>
  </si>
  <si>
    <t>Critical</t>
  </si>
  <si>
    <t>Id</t>
  </si>
  <si>
    <t>Description Url</t>
  </si>
  <si>
    <t>Description Text</t>
  </si>
  <si>
    <t>Cause [1]</t>
  </si>
  <si>
    <t>Remedy [1]</t>
  </si>
  <si>
    <t>Cause [2]</t>
  </si>
  <si>
    <t>Remedy [2]</t>
  </si>
  <si>
    <t>Bravo</t>
  </si>
  <si>
    <t>Charlie</t>
  </si>
  <si>
    <t>EventClassHash</t>
  </si>
  <si>
    <t>TranslationHash</t>
  </si>
  <si>
    <t>InitReferenceEvent</t>
  </si>
  <si>
    <t>DT_GLOBAL_INIT_REFERENCE_EVENT</t>
  </si>
  <si>
    <t>Reference Event that should be the first in all event classes</t>
  </si>
  <si>
    <t>VFFSDemo</t>
  </si>
  <si>
    <t>{FE9A29DC-E7F7-4FBC-BA63-9EF8F58A116B}</t>
  </si>
  <si>
    <t>PullWheels</t>
  </si>
  <si>
    <t>{A5BD974C-C533-4ACD-B99F-6411EA0C5C96}</t>
  </si>
  <si>
    <t>Sealer</t>
  </si>
  <si>
    <t>{E7C9EC7C-F6F4-4251-AB87-8484EB7769AF}</t>
  </si>
  <si>
    <t>Unwind</t>
  </si>
  <si>
    <t>{EEC7A54A-2C27-4CAE-A61D-8683FA038652}</t>
  </si>
  <si>
    <t>EmergencyStop</t>
  </si>
  <si>
    <t>LowAir</t>
  </si>
  <si>
    <t>TemeratureOutOfRange</t>
  </si>
  <si>
    <t>FeedbackError</t>
  </si>
  <si>
    <t>StartTimeout</t>
  </si>
  <si>
    <t>DT_PullWheels_Event_StartTimeout</t>
  </si>
  <si>
    <t>DT_Sealer_Event_TemeratureOutOfRange</t>
  </si>
  <si>
    <t>DT_Sealer_Event_FeedbackError</t>
  </si>
  <si>
    <t>DT_Unwind_Event_StartTimeout</t>
  </si>
  <si>
    <t>DT_VFFSDemo_Event_EmergencyStop</t>
  </si>
  <si>
    <t>DT_VFFSDemo_Event_LowAir</t>
  </si>
  <si>
    <t>{0} - Start up timeout</t>
  </si>
  <si>
    <t>{0} - Out of Temperature Range ({1}-{2})</t>
  </si>
  <si>
    <t>{0} - Sealer feedback error</t>
  </si>
  <si>
    <t>Init Reference should never be set</t>
  </si>
  <si>
    <t>{A04CDD29-0161-4E74-8C91-ED1B590B33FC}</t>
  </si>
  <si>
    <t>{AFE9C772-AA3F-4E72-B572-79F973FF9A13}</t>
  </si>
  <si>
    <t>{9A9C8F97-6E43-48C5-9CA3-C1BEED0ABFD5}</t>
  </si>
  <si>
    <t>{A57A63D3-319B-49B6-9D4A-5C2DDCEE5F11}</t>
  </si>
  <si>
    <t>{0} - Emergency stop</t>
  </si>
  <si>
    <t>{0} - Low air</t>
  </si>
  <si>
    <t>{0} - Start timeout</t>
  </si>
  <si>
    <t>{B705D49C-5592-4042-9801-798CA9022F9A}</t>
  </si>
  <si>
    <t>{253CBB3E-FA4D-478D-8422-9E3E0A457FEC}</t>
  </si>
  <si>
    <t>InfoMessage</t>
  </si>
  <si>
    <t>WarnMessage</t>
  </si>
  <si>
    <t>AlarmMessage</t>
  </si>
  <si>
    <t>DT_VFFSDemo_Event_InfoMessage</t>
  </si>
  <si>
    <t>DT_VFFSDemo_Event_WarnMessage</t>
  </si>
  <si>
    <t>DT_VFFSDemo_Event_AlarmMessage</t>
  </si>
  <si>
    <t>DT_PullWheels_Event_InfoMessage</t>
  </si>
  <si>
    <t>DT_PullWheels_Event_WarnMessage</t>
  </si>
  <si>
    <t>DT_PullWheels_Event_AlarmMessage</t>
  </si>
  <si>
    <t>DT_Sealer_Event_InfoMessage</t>
  </si>
  <si>
    <t>DT_Sealer_Event_WarnMessage</t>
  </si>
  <si>
    <t>DT_Sealer_Event_AlarmMessage</t>
  </si>
  <si>
    <t>DT_Unwind_Event_InfoMessage</t>
  </si>
  <si>
    <t>DT_Unwind_Event_WarnMessage</t>
  </si>
  <si>
    <t>DT_Unwind_Event_AlarmMessage</t>
  </si>
  <si>
    <t>{0} - Info Message</t>
  </si>
  <si>
    <t>{0} - Warning Message</t>
  </si>
  <si>
    <t>{0} - Error Message</t>
  </si>
  <si>
    <t>{5183A52A-113E-4097-88B2-113A388DD5DE}</t>
  </si>
  <si>
    <t>{6B0100BE-3916-4BDE-A328-3F8C35350258}</t>
  </si>
  <si>
    <t>{52AB4CCA-7290-4BB8-BAC6-EA0F9EFA8872}</t>
  </si>
  <si>
    <t>{2D473CF4-5832-4FF1-91A5-58F2A44AB92F}</t>
  </si>
  <si>
    <t>BOARD_OVERHEAT</t>
  </si>
  <si>
    <t>{79C6C051-F0E1-4052-923D-FC21E1599CC0}</t>
  </si>
  <si>
    <t>DT_DemoSystem_Event_EmergencyStop</t>
  </si>
  <si>
    <t>DT_DemoSystem_Event_LowAir</t>
  </si>
  <si>
    <t>DT_DemoSystem_Event_InfoMessage</t>
  </si>
  <si>
    <t>DT_DemoSystem_Event_WarnMessage</t>
  </si>
  <si>
    <t>DT_DemoSystem_Event_AlarmMessage</t>
  </si>
  <si>
    <t>MotionlinxAI_Axis</t>
  </si>
  <si>
    <t>MotionLinx_Axis</t>
  </si>
  <si>
    <t>{A652DBBF-7C1C-4BD3-BDB4-DD14464F85AF}</t>
  </si>
  <si>
    <t>DemoSystem</t>
  </si>
  <si>
    <t>Demo_System</t>
  </si>
  <si>
    <t>DT_MotionlinxAI_Axis_Event_BOARD_OVERHEAT</t>
  </si>
  <si>
    <t>DT_MotionlinxAI_Axis_Event_MOTOR_OVERHEATED</t>
  </si>
  <si>
    <t>DT_MotionlinxAI_Axis_Event_MOTOR_SHORT_CIRCUIT</t>
  </si>
  <si>
    <t>DT_MotionlinxAI_Axis_Event_MOTOR_NOT_CONNECTED</t>
  </si>
  <si>
    <t>DT_MotionlinxAI_Axis_Event_MOTOR_OVERLOADED</t>
  </si>
  <si>
    <t>DT_MotionlinxAI_Axis_Event_MOTOR_STALLED</t>
  </si>
  <si>
    <t>DT_MotionlinxAI_Axis_Event_MOTOR_HALL_SENSOR</t>
  </si>
  <si>
    <t>OVERHEATED</t>
  </si>
  <si>
    <t>SHORT_CIRCUIT</t>
  </si>
  <si>
    <t>NOT_CONNECTED</t>
  </si>
  <si>
    <t>OVERLOADED</t>
  </si>
  <si>
    <t>STALLED</t>
  </si>
  <si>
    <t>HALL_SENSOR</t>
  </si>
  <si>
    <t>OVER_VOLTAGE</t>
  </si>
  <si>
    <t>{3E01676B-C8C7-43A2-BE47-C96EF506A6D8}</t>
  </si>
  <si>
    <t>DT_MotionlinxAI_Axis_Event_OVERHEATED</t>
  </si>
  <si>
    <t>DT_MotionlinxAI_Axis_Event_SHORT_CIRCUIT</t>
  </si>
  <si>
    <t>DT_MotionlinxAI_Axis_Event_NOT_CONNECTED</t>
  </si>
  <si>
    <t>DT_MotionlinxAI_Axis_Event_OVERLOADED</t>
  </si>
  <si>
    <t>DT_MotionlinxAI_Axis_Event_STALLED</t>
  </si>
  <si>
    <t>DT_MotionlinxAI_Axis_Event_HALL_SENSOR</t>
  </si>
  <si>
    <t>DT_MotionlinxAI_Axis_Event_OVER_VOLTAGE</t>
  </si>
  <si>
    <t>{B2E068AE-EEA9-4598-AA53-39B5574CE7E0}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</si>
</sst>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Font="1" applyBorder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02067-F15D-4A43-90FE-FDFDE90CF1B0}" name="Translations" displayName="Translations" ref="A1:K46" totalsRowShown="0">
  <autoFilter ref="A1:K46" xr:uid="{EF502067-F15D-4A43-90FE-FDFDE90CF1B0}"/>
  <tableColumns count="11">
    <tableColumn id="1" xr3:uid="{7319F350-61F3-452C-8BDF-D51E96A73381}" name="Key"/>
    <tableColumn id="2" xr3:uid="{19CE2754-8E6F-4F8E-8CC7-46BC1F9E237B}" name="German (1031)"/>
    <tableColumn id="3" xr3:uid="{394F7A05-E5D5-480A-8F27-7B9148B103CE}" name="English (1033)"/>
    <tableColumn id="4" xr3:uid="{FD25D9A3-B960-4CE2-B449-5DEA67439240}" name="French (1036)"/>
    <tableColumn id="5" xr3:uid="{3AD86520-88AB-47CF-8325-0E7392357806}" name="Spanish (1034)"/>
    <tableColumn id="6" xr3:uid="{487586D4-F94D-4857-BEC2-6739D6010B36}" name="Dutch (1043)"/>
    <tableColumn id="7" xr3:uid="{9173A877-2A9D-487E-94ED-D98C5B77B08F}" name="Turkish (1055)"/>
    <tableColumn id="8" xr3:uid="{A5CDD805-8240-4D55-865C-88C54B5E70FA}" name="Czech (1029)"/>
    <tableColumn id="9" xr3:uid="{E60E179A-221C-4AA4-B366-D2ED19F3BF11}" name="Polish (1045)"/>
    <tableColumn id="10" xr3:uid="{0CB435FA-E07A-4272-B130-25ED405302A6}" name="Russian (1049)"/>
    <tableColumn id="11" xr3:uid="{D64C2139-8307-41D1-B66A-35C056653E2D}" name="Serbian (3098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B5A29-CCFC-4450-A93D-1DFC8A3837EC}" name="EventClasses" displayName="EventClasses" ref="A1:E6" totalsRowShown="0">
  <autoFilter ref="A1:E6" xr:uid="{577B5A29-CCFC-4450-A93D-1DFC8A3837EC}"/>
  <tableColumns count="5">
    <tableColumn id="1" xr3:uid="{A9E63A1E-857B-4957-A8E3-8B8B7C9A6AFD}" name="Name"/>
    <tableColumn id="2" xr3:uid="{DCD82C28-317A-479C-8E5B-141241E6020C}" name="Namespace"/>
    <tableColumn id="3" xr3:uid="{232DC3DF-ED71-4D35-8483-E8CC7314EF32}" name="Guid"/>
    <tableColumn id="4" xr3:uid="{AB2B21B7-9186-4AF6-890D-16AEAE6ED5B0}" name="Display Text"/>
    <tableColumn id="5" xr3:uid="{568494FB-9CED-4CBA-B5E6-8B9578BF71B0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AAD01C-8191-4FC4-A842-1440E5C5A6E8}" name="MotionlinxAI_Axis" displayName="MotionlinxAI_Axis" ref="A1:K10" totalsRowShown="0">
  <autoFilter ref="A1:K10" xr:uid="{295623AA-431C-4A79-9E8B-4A379FC2A955}"/>
  <tableColumns count="11">
    <tableColumn id="1" xr3:uid="{6E0F7CFB-A557-4111-A3B0-A27E06B4EB6C}" name="Name"/>
    <tableColumn id="2" xr3:uid="{852AF20B-3ED8-45FB-ACFE-394A60726220}" name="Id"/>
    <tableColumn id="3" xr3:uid="{B0272BEC-A1AB-4656-A51F-6556DFC12FEC}" name="Severity"/>
    <tableColumn id="4" xr3:uid="{4D03F80B-6D22-4BFE-A8D6-51C117A4FD03}" name="Display Text"/>
    <tableColumn id="5" xr3:uid="{AC622659-ECEE-4549-8935-FF2010C2ACD1}" name="Comment"/>
    <tableColumn id="6" xr3:uid="{0D874AFD-C8C5-4976-8E6C-43D0EF9D44F7}" name="Description Url"/>
    <tableColumn id="7" xr3:uid="{325C8420-D5FC-4AFC-B580-730E0EB22B04}" name="Description Text"/>
    <tableColumn id="8" xr3:uid="{48CC5C0D-29F6-4289-8F33-2C706B19E5BA}" name="Cause [1]"/>
    <tableColumn id="9" xr3:uid="{D623700A-E5F8-401C-95C7-12B727FD1DA7}" name="Remedy [1]"/>
    <tableColumn id="10" xr3:uid="{FDA123C4-EF69-4867-8CF9-879080563A3B}" name="Cause [2]"/>
    <tableColumn id="11" xr3:uid="{CDFABBEE-E90B-4E35-BF85-649775DC4561}" name="Remedy [2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193269-76F4-4443-88F6-9EAC3CB46573}" name="PullWheels" displayName="PullWheels" ref="A1:K6" totalsRowShown="0">
  <autoFilter ref="A1:K6" xr:uid="{295623AA-431C-4A79-9E8B-4A379FC2A955}"/>
  <tableColumns count="11">
    <tableColumn id="1" xr3:uid="{5A8AAB68-5995-46F7-86BC-5756553FBBF5}" name="Name"/>
    <tableColumn id="2" xr3:uid="{110F036D-194E-4830-B80C-9885B47F9559}" name="Id"/>
    <tableColumn id="3" xr3:uid="{6E2672BC-7F85-42B1-BCFB-A3B70255852F}" name="Severity"/>
    <tableColumn id="4" xr3:uid="{1ACF7397-49D2-4B85-9928-8A2BCEF8064C}" name="Display Text"/>
    <tableColumn id="5" xr3:uid="{C1F3447C-F3E5-437A-ABD9-18ED24B5107C}" name="Comment"/>
    <tableColumn id="6" xr3:uid="{8B9E9AEC-1484-4819-BC1A-34CC6177F647}" name="Description Url"/>
    <tableColumn id="7" xr3:uid="{452931FE-B428-4834-9C03-5DF8BD00E203}" name="Description Text"/>
    <tableColumn id="8" xr3:uid="{A8EB73EB-2700-471F-BD81-D2E285E9DA9E}" name="Cause [1]"/>
    <tableColumn id="9" xr3:uid="{3A5499AF-CF43-48C2-9D2A-B63CA18EDF40}" name="Remedy [1]"/>
    <tableColumn id="10" xr3:uid="{54976E13-1F63-423B-A23C-4D9268B84031}" name="Cause [2]"/>
    <tableColumn id="11" xr3:uid="{BC6284EF-0CD0-4EEB-A322-2D710316002F}" name="Remedy [2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C0D1BE-C1F8-401A-A78B-3D30E6B015DD}" name="Sealer" displayName="Sealer" ref="A1:K7" totalsRowShown="0">
  <autoFilter ref="A1:K7" xr:uid="{295623AA-431C-4A79-9E8B-4A379FC2A955}"/>
  <tableColumns count="11">
    <tableColumn id="1" xr3:uid="{B396DBD9-B112-4B58-B803-1D432A62F2AA}" name="Name"/>
    <tableColumn id="2" xr3:uid="{F87502CB-2698-4D3A-9377-17ECC57FAA90}" name="Id"/>
    <tableColumn id="3" xr3:uid="{0E94C3D8-D784-44D9-BD2B-12D2AC31F311}" name="Severity"/>
    <tableColumn id="4" xr3:uid="{8513A088-4FEF-4B02-9F70-4D8642261ABE}" name="Display Text"/>
    <tableColumn id="5" xr3:uid="{8D0965D8-5B27-4F1B-AD08-54CDD7D5CCD9}" name="Comment"/>
    <tableColumn id="6" xr3:uid="{D1789352-0A9B-4520-AF97-E12950216808}" name="Description Url"/>
    <tableColumn id="7" xr3:uid="{4D4B7629-A88D-43CF-AD48-B38B71A8D2E6}" name="Description Text"/>
    <tableColumn id="8" xr3:uid="{B30756BA-B357-4FD9-A75B-A9E8D154C03D}" name="Cause [1]"/>
    <tableColumn id="9" xr3:uid="{BBE248B5-C677-4F27-BFB6-6C11188675F6}" name="Remedy [1]"/>
    <tableColumn id="10" xr3:uid="{5C6A579D-6789-4DFE-AA79-C55FF7BCEC56}" name="Cause [2]"/>
    <tableColumn id="11" xr3:uid="{15BFD6F0-BEAA-43DC-8BF2-164D3B87953A}" name="Remedy [2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97DF74-73FB-474E-8091-2E5C44F4C370}" name="Unwind" displayName="Unwind" ref="A1:K6" totalsRowShown="0">
  <autoFilter ref="A1:K6" xr:uid="{295623AA-431C-4A79-9E8B-4A379FC2A955}"/>
  <tableColumns count="11">
    <tableColumn id="1" xr3:uid="{72FB2860-DF50-4411-9C67-71A10C288EE6}" name="Name"/>
    <tableColumn id="2" xr3:uid="{2F17D521-36B9-484D-AAAE-E45BCE8C073A}" name="Id"/>
    <tableColumn id="3" xr3:uid="{2D183460-8EA4-4594-AA5A-A0695C128985}" name="Severity"/>
    <tableColumn id="4" xr3:uid="{D40EA70B-ECCE-4559-B728-84FDB91B3610}" name="Display Text"/>
    <tableColumn id="5" xr3:uid="{F0579229-77FF-4403-8B10-022710A92E67}" name="Comment"/>
    <tableColumn id="6" xr3:uid="{5314BDC5-30BE-49B6-BCEF-344BB62D6D7C}" name="Description Url"/>
    <tableColumn id="7" xr3:uid="{D86BF690-5237-452B-A8E5-D080C962CB0B}" name="Description Text"/>
    <tableColumn id="8" xr3:uid="{7BEDA145-DCAB-4F57-97F6-1BCE260921A8}" name="Cause [1]"/>
    <tableColumn id="9" xr3:uid="{607E35E7-A06F-4C87-9BA1-02BFD09ABB45}" name="Remedy [1]"/>
    <tableColumn id="10" xr3:uid="{7B1A8F79-A0A9-452C-A188-7EC01D81EE90}" name="Cause [2]"/>
    <tableColumn id="11" xr3:uid="{BB912334-FD5B-4444-840D-D2D55853F7D0}" name="Remedy [2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F34A5C-7472-4752-90C3-F46D2F5814E5}" name="DemoSystem" displayName="DemoSystem" ref="A1:K7" totalsRowShown="0">
  <autoFilter ref="A1:K7" xr:uid="{295623AA-431C-4A79-9E8B-4A379FC2A955}"/>
  <tableColumns count="11">
    <tableColumn id="1" xr3:uid="{72D44325-D88D-45B7-8008-A553474E4A9D}" name="Name"/>
    <tableColumn id="2" xr3:uid="{032EEF6F-322C-4B68-9098-E9D30BDA3537}" name="Id"/>
    <tableColumn id="3" xr3:uid="{8D6B3E79-8327-4739-AC0D-35FEA9DB5C30}" name="Severity"/>
    <tableColumn id="4" xr3:uid="{E681C4B5-F8E9-4F7D-A0BC-4D50146A3DFC}" name="Display Text"/>
    <tableColumn id="5" xr3:uid="{8ED2BC89-1DE4-4FDE-B1E8-F580997B052E}" name="Comment"/>
    <tableColumn id="6" xr3:uid="{BC4D64F1-8A10-4700-A9AA-C71C94A68BE5}" name="Description Url"/>
    <tableColumn id="7" xr3:uid="{EBF30D21-EA47-4AB3-80DF-3C1B56F809D2}" name="Description Text"/>
    <tableColumn id="8" xr3:uid="{51E85675-4C12-43AF-8B0B-F6743CE425BF}" name="Cause [1]"/>
    <tableColumn id="9" xr3:uid="{4B5EF3E6-C828-42F6-8940-C6171CA323CE}" name="Remedy [1]"/>
    <tableColumn id="10" xr3:uid="{913462A7-A6B4-4709-B3DE-CF335A48FAB0}" name="Cause [2]"/>
    <tableColumn id="11" xr3:uid="{26F445B9-181F-4E0A-8F4D-77CBAAC7FBA4}" name="Remedy [2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5623AA-431C-4A79-9E8B-4A379FC2A955}" name="TemplateEventClass" displayName="TemplateEventClass" ref="A1:K4" totalsRowShown="0">
  <autoFilter ref="A1:K4" xr:uid="{295623AA-431C-4A79-9E8B-4A379FC2A955}"/>
  <tableColumns count="11">
    <tableColumn id="1" xr3:uid="{FFC9347B-3FE3-47EC-88AA-3175FA446546}" name="Name"/>
    <tableColumn id="2" xr3:uid="{CCF26B78-6CA2-48E0-959E-067AE153030B}" name="Id"/>
    <tableColumn id="3" xr3:uid="{0AC652E4-17C0-4B84-87CB-151A4C6DA7E6}" name="Severity"/>
    <tableColumn id="4" xr3:uid="{BDF56A92-7C98-43DF-97B4-E7A1437BE848}" name="Display Text"/>
    <tableColumn id="5" xr3:uid="{AF02E30D-E681-4F9A-BFA1-D25C793B3863}" name="Comment"/>
    <tableColumn id="6" xr3:uid="{34D8514F-1A6E-4DC3-A4AF-47A4973F041C}" name="Description Url"/>
    <tableColumn id="7" xr3:uid="{6F0F7E6D-FF55-4525-B87D-F48F0F098BB9}" name="Description Text"/>
    <tableColumn id="8" xr3:uid="{916F35A5-03E1-4C33-95F8-7F9895BA5799}" name="Cause [1]"/>
    <tableColumn id="9" xr3:uid="{FBB15ED1-07E6-4851-90F6-E1AEABE7FDC9}" name="Remedy [1]"/>
    <tableColumn id="10" xr3:uid="{8D6C977D-E66C-4133-8806-AEAD9BBDCD03}" name="Cause [2]"/>
    <tableColumn id="11" xr3:uid="{0C091713-1E2A-4F71-9E56-B9338585FB34}" name="Remedy [2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7A26EF-D29E-419D-9C54-6E4D7AD658E1}" name="HiddenDataTypes" displayName="HiddenDataTypes" ref="A1:B14" totalsRowShown="0">
  <autoFilter ref="A1:B14" xr:uid="{E77A26EF-D29E-419D-9C54-6E4D7AD658E1}"/>
  <tableColumns count="2">
    <tableColumn id="1" xr3:uid="{D5FBD3FA-FE3E-4CDB-A75F-1FDE6E140252}" name="EventClass"/>
    <tableColumn id="2" xr3:uid="{D998B977-D4EE-4C7C-B174-CEA46AFC934D}" name="Gu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7AD5E-2A7B-44A9-958B-707002C19538}" name="Helper" displayName="Helper" ref="A1:A6" totalsRowShown="0">
  <autoFilter ref="A1:A6" xr:uid="{AE67AD5E-2A7B-44A9-958B-707002C19538}"/>
  <tableColumns count="1">
    <tableColumn id="1" xr3:uid="{B1FF8349-09D8-4986-B9D6-8D6263719D88}" name="Sever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4DB3E2-BA4D-4E41-9B4A-2101A6EE092C}" name="EventClassHashTable" displayName="EventClassHashTable" ref="A1:C7" totalsRowShown="0">
  <autoFilter ref="A1:C7" xr:uid="{0C4DB3E2-BA4D-4E41-9B4A-2101A6EE092C}"/>
  <tableColumns count="3">
    <tableColumn id="1" xr3:uid="{3750574B-762F-4316-912A-7D859BAE0C8E}" name="Name"/>
    <tableColumn id="2" xr3:uid="{D6260345-FF50-43AD-AD13-4CD1B65552CE}" name="EventClassHash"/>
    <tableColumn id="3" xr3:uid="{70FD2679-56F2-4D7D-984E-A543CC52FE1E}" name="Translation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7B32-D677-4717-9AE6-4A3D84049267}">
  <dimension ref="A1:K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0" sqref="A20"/>
    </sheetView>
  </sheetViews>
  <sheetFormatPr defaultRowHeight="15" x14ac:dyDescent="0.25"/>
  <cols>
    <col min="1" max="1" width="59" customWidth="1"/>
    <col min="2" max="2" width="28.42578125" bestFit="1" customWidth="1"/>
    <col min="3" max="3" width="46.85546875" customWidth="1"/>
    <col min="4" max="4" width="15.140625" bestFit="1" customWidth="1"/>
    <col min="5" max="5" width="16.140625" bestFit="1" customWidth="1"/>
    <col min="6" max="6" width="14.28515625" bestFit="1" customWidth="1"/>
    <col min="7" max="7" width="15.7109375" bestFit="1" customWidth="1"/>
    <col min="8" max="8" width="14.28515625" bestFit="1" customWidth="1"/>
    <col min="9" max="9" width="14.5703125" bestFit="1" customWidth="1"/>
    <col min="10" max="11" width="1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35</v>
      </c>
      <c r="C2" t="s">
        <v>59</v>
      </c>
    </row>
    <row r="3" spans="1:11" x14ac:dyDescent="0.25">
      <c r="A3" t="s">
        <v>50</v>
      </c>
      <c r="C3" t="s">
        <v>56</v>
      </c>
    </row>
    <row r="4" spans="1:11" x14ac:dyDescent="0.25">
      <c r="A4" t="s">
        <v>51</v>
      </c>
      <c r="C4" t="s">
        <v>57</v>
      </c>
    </row>
    <row r="5" spans="1:11" x14ac:dyDescent="0.25">
      <c r="A5" t="s">
        <v>52</v>
      </c>
      <c r="C5" t="s">
        <v>58</v>
      </c>
    </row>
    <row r="6" spans="1:11" x14ac:dyDescent="0.25">
      <c r="A6" t="s">
        <v>53</v>
      </c>
      <c r="C6" t="s">
        <v>66</v>
      </c>
    </row>
    <row r="7" spans="1:11" x14ac:dyDescent="0.25">
      <c r="A7" s="2" t="s">
        <v>54</v>
      </c>
      <c r="C7" t="s">
        <v>64</v>
      </c>
    </row>
    <row r="8" spans="1:11" x14ac:dyDescent="0.25">
      <c r="A8" s="2" t="s">
        <v>55</v>
      </c>
      <c r="C8" t="s">
        <v>65</v>
      </c>
    </row>
    <row r="9" spans="1:11" x14ac:dyDescent="0.25">
      <c r="A9" t="s">
        <v>75</v>
      </c>
      <c r="C9" t="s">
        <v>84</v>
      </c>
    </row>
    <row r="10" spans="1:11" x14ac:dyDescent="0.25">
      <c r="A10" t="s">
        <v>76</v>
      </c>
      <c r="C10" t="s">
        <v>85</v>
      </c>
    </row>
    <row r="11" spans="1:11" x14ac:dyDescent="0.25">
      <c r="A11" t="s">
        <v>77</v>
      </c>
      <c r="C11" t="s">
        <v>86</v>
      </c>
    </row>
    <row r="12" spans="1:11" x14ac:dyDescent="0.25">
      <c r="A12" t="s">
        <v>78</v>
      </c>
      <c r="C12" t="s">
        <v>84</v>
      </c>
    </row>
    <row r="13" spans="1:11" x14ac:dyDescent="0.25">
      <c r="A13" t="s">
        <v>79</v>
      </c>
      <c r="C13" t="s">
        <v>85</v>
      </c>
    </row>
    <row r="14" spans="1:11" x14ac:dyDescent="0.25">
      <c r="A14" t="s">
        <v>80</v>
      </c>
      <c r="C14" t="s">
        <v>86</v>
      </c>
    </row>
    <row r="15" spans="1:11" x14ac:dyDescent="0.25">
      <c r="A15" t="s">
        <v>81</v>
      </c>
      <c r="C15" t="s">
        <v>84</v>
      </c>
    </row>
    <row r="16" spans="1:11" x14ac:dyDescent="0.25">
      <c r="A16" t="s">
        <v>82</v>
      </c>
      <c r="C16" t="s">
        <v>85</v>
      </c>
    </row>
    <row r="17" spans="1:3" x14ac:dyDescent="0.25">
      <c r="A17" t="s">
        <v>83</v>
      </c>
      <c r="C17" t="s">
        <v>86</v>
      </c>
    </row>
    <row r="18" spans="1:3" x14ac:dyDescent="0.25">
      <c r="A18" s="2" t="s">
        <v>72</v>
      </c>
      <c r="C18" t="s">
        <v>84</v>
      </c>
    </row>
    <row r="19" spans="1:3" x14ac:dyDescent="0.25">
      <c r="A19" s="2" t="s">
        <v>73</v>
      </c>
      <c r="C19" t="s">
        <v>85</v>
      </c>
    </row>
    <row r="20" spans="1:3" x14ac:dyDescent="0.25">
      <c r="A20" s="2" t="s">
        <v>74</v>
      </c>
      <c r="C20" t="s">
        <v>86</v>
      </c>
    </row>
    <row r="21" spans="1:3" x14ac:dyDescent="0.25">
      <c r="A21" t="s">
        <v>39</v>
      </c>
    </row>
    <row r="22" spans="1:3" x14ac:dyDescent="0.25">
      <c r="A22" t="s">
        <v>36</v>
      </c>
    </row>
    <row r="23" spans="1:3" x14ac:dyDescent="0.25">
      <c r="A23" t="s">
        <v>41</v>
      </c>
    </row>
    <row r="24" spans="1:3" x14ac:dyDescent="0.25">
      <c r="A24" t="s">
        <v>43</v>
      </c>
    </row>
    <row r="25" spans="1:3" x14ac:dyDescent="0.25">
      <c r="A25" t="s">
        <v>37</v>
      </c>
    </row>
    <row r="26" spans="1:3" x14ac:dyDescent="0.25">
      <c r="A26" t="s">
        <v>93</v>
      </c>
    </row>
    <row r="27" spans="1:3" x14ac:dyDescent="0.25">
      <c r="A27" t="s">
        <v>94</v>
      </c>
    </row>
    <row r="28" spans="1:3" x14ac:dyDescent="0.25">
      <c r="A28" t="s">
        <v>95</v>
      </c>
    </row>
    <row r="29" spans="1:3" x14ac:dyDescent="0.25">
      <c r="A29" t="s">
        <v>96</v>
      </c>
    </row>
    <row r="30" spans="1:3" x14ac:dyDescent="0.25">
      <c r="A30" t="s">
        <v>97</v>
      </c>
    </row>
    <row r="31" spans="1:3" x14ac:dyDescent="0.25">
      <c r="A31" t="s">
        <v>102</v>
      </c>
    </row>
    <row r="32" spans="1:3" x14ac:dyDescent="0.25">
      <c r="A32" t="s">
        <v>99</v>
      </c>
    </row>
    <row r="33" spans="1:1" x14ac:dyDescent="0.25">
      <c r="A33" t="s">
        <v>103</v>
      </c>
    </row>
    <row r="34" spans="1:1" x14ac:dyDescent="0.25">
      <c r="A34" t="s">
        <v>104</v>
      </c>
    </row>
    <row r="35" spans="1:1" x14ac:dyDescent="0.25">
      <c r="A35" t="s">
        <v>105</v>
      </c>
    </row>
    <row r="36" spans="1:1" x14ac:dyDescent="0.25">
      <c r="A36" t="s">
        <v>106</v>
      </c>
    </row>
    <row r="37" spans="1:1" x14ac:dyDescent="0.25">
      <c r="A37" t="s">
        <v>107</v>
      </c>
    </row>
    <row r="38" spans="1:1" x14ac:dyDescent="0.25">
      <c r="A38" t="s">
        <v>108</v>
      </c>
    </row>
    <row r="39" spans="1:1" x14ac:dyDescent="0.25">
      <c r="A39" t="s">
        <v>109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6" spans="1:1" x14ac:dyDescent="0.25">
      <c r="A46" t="s">
        <v>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4D51-6222-4265-8E1A-B1FC96CC0190}">
  <dimension ref="A1:E6"/>
  <sheetViews>
    <sheetView workbookViewId="0">
      <selection activeCell="C6" sqref="C6"/>
    </sheetView>
  </sheetViews>
  <sheetFormatPr defaultRowHeight="15" x14ac:dyDescent="0.25"/>
  <cols>
    <col min="1" max="1" width="11.140625" bestFit="1" customWidth="1"/>
    <col min="2" max="2" width="13.5703125" bestFit="1" customWidth="1"/>
    <col min="3" max="3" width="40.7109375" bestFit="1" customWidth="1"/>
    <col min="4" max="4" width="14" bestFit="1" customWidth="1"/>
    <col min="5" max="5" width="12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39</v>
      </c>
      <c r="C2" t="s">
        <v>87</v>
      </c>
      <c r="D2" t="s">
        <v>39</v>
      </c>
    </row>
    <row r="3" spans="1:5" x14ac:dyDescent="0.25">
      <c r="A3" t="s">
        <v>41</v>
      </c>
      <c r="C3" t="s">
        <v>92</v>
      </c>
      <c r="D3" t="s">
        <v>41</v>
      </c>
    </row>
    <row r="4" spans="1:5" x14ac:dyDescent="0.25">
      <c r="A4" t="s">
        <v>43</v>
      </c>
      <c r="C4" t="s">
        <v>89</v>
      </c>
      <c r="D4" t="s">
        <v>43</v>
      </c>
    </row>
    <row r="5" spans="1:5" x14ac:dyDescent="0.25">
      <c r="A5" t="s">
        <v>101</v>
      </c>
      <c r="C5" t="s">
        <v>90</v>
      </c>
      <c r="D5" t="s">
        <v>102</v>
      </c>
    </row>
    <row r="6" spans="1:5" x14ac:dyDescent="0.25">
      <c r="A6" t="s">
        <v>98</v>
      </c>
      <c r="C6" t="s">
        <v>125</v>
      </c>
      <c r="D6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BD59-885A-4B4B-86AD-5A5983F4FB60}">
  <dimension ref="A1:K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RowHeight="15" x14ac:dyDescent="0.25"/>
  <cols>
    <col min="1" max="1" width="22.85546875" bestFit="1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34</v>
      </c>
      <c r="B2">
        <v>1</v>
      </c>
      <c r="C2" t="s">
        <v>19</v>
      </c>
      <c r="D2" t="s">
        <v>35</v>
      </c>
      <c r="E2" t="s">
        <v>36</v>
      </c>
    </row>
    <row r="3" spans="1:11" x14ac:dyDescent="0.25">
      <c r="A3" t="s">
        <v>91</v>
      </c>
      <c r="B3">
        <v>2</v>
      </c>
      <c r="C3" t="s">
        <v>21</v>
      </c>
      <c r="D3" t="str" cm="1">
        <f t="array" aca="1" ref="D3" ca="1">_xlfn.CONCAT("DT_", RIGHT(CELL("filename",P1),LEN(CELL("filename",P1))-FIND("]",CELL("filename",P1))),"_Event_", MotionlinxAI_Axis[[#This Row],[Name]])</f>
        <v>DT_MotionlinxAI_Axis_Event_BOARD_OVERHEAT</v>
      </c>
    </row>
    <row r="4" spans="1:11" x14ac:dyDescent="0.25">
      <c r="A4" t="s">
        <v>110</v>
      </c>
      <c r="B4">
        <v>3</v>
      </c>
      <c r="C4" t="s">
        <v>20</v>
      </c>
      <c r="D4" t="str" cm="1">
        <f t="array" aca="1" ref="D4" ca="1">_xlfn.CONCAT("DT_", RIGHT(CELL("filename",P2),LEN(CELL("filename",P2))-FIND("]",CELL("filename",P2))),"_Event_", MotionlinxAI_Axis[[#This Row],[Name]])</f>
        <v>DT_MotionlinxAI_Axis_Event_OVERHEATED</v>
      </c>
    </row>
    <row r="5" spans="1:11" x14ac:dyDescent="0.25">
      <c r="A5" t="s">
        <v>111</v>
      </c>
      <c r="B5">
        <v>4</v>
      </c>
      <c r="C5" t="s">
        <v>21</v>
      </c>
      <c r="D5" t="str" cm="1">
        <f t="array" aca="1" ref="D5" ca="1">_xlfn.CONCAT("DT_", RIGHT(CELL("filename",P3),LEN(CELL("filename",P3))-FIND("]",CELL("filename",P3))),"_Event_", MotionlinxAI_Axis[[#This Row],[Name]])</f>
        <v>DT_MotionlinxAI_Axis_Event_SHORT_CIRCUIT</v>
      </c>
    </row>
    <row r="6" spans="1:11" x14ac:dyDescent="0.25">
      <c r="A6" t="s">
        <v>112</v>
      </c>
      <c r="B6">
        <v>5</v>
      </c>
      <c r="C6" t="s">
        <v>20</v>
      </c>
      <c r="D6" t="str" cm="1">
        <f t="array" aca="1" ref="D6" ca="1">_xlfn.CONCAT("DT_", RIGHT(CELL("filename",P4),LEN(CELL("filename",P4))-FIND("]",CELL("filename",P4))),"_Event_", MotionlinxAI_Axis[[#This Row],[Name]])</f>
        <v>DT_MotionlinxAI_Axis_Event_NOT_CONNECTED</v>
      </c>
    </row>
    <row r="7" spans="1:11" x14ac:dyDescent="0.25">
      <c r="A7" t="s">
        <v>113</v>
      </c>
      <c r="B7">
        <v>6</v>
      </c>
      <c r="C7" t="s">
        <v>21</v>
      </c>
      <c r="D7" t="str" cm="1">
        <f t="array" aca="1" ref="D7" ca="1">_xlfn.CONCAT("DT_", RIGHT(CELL("filename",P5),LEN(CELL("filename",P5))-FIND("]",CELL("filename",P5))),"_Event_", MotionlinxAI_Axis[[#This Row],[Name]])</f>
        <v>DT_MotionlinxAI_Axis_Event_OVERLOADED</v>
      </c>
    </row>
    <row r="8" spans="1:11" x14ac:dyDescent="0.25">
      <c r="A8" t="s">
        <v>114</v>
      </c>
      <c r="B8">
        <v>7</v>
      </c>
      <c r="C8" t="s">
        <v>20</v>
      </c>
      <c r="D8" t="str" cm="1">
        <f t="array" aca="1" ref="D8" ca="1">_xlfn.CONCAT("DT_", RIGHT(CELL("filename",P6),LEN(CELL("filename",P6))-FIND("]",CELL("filename",P6))),"_Event_", MotionlinxAI_Axis[[#This Row],[Name]])</f>
        <v>DT_MotionlinxAI_Axis_Event_STALLED</v>
      </c>
    </row>
    <row r="9" spans="1:11" x14ac:dyDescent="0.25">
      <c r="A9" t="s">
        <v>115</v>
      </c>
      <c r="B9">
        <v>8</v>
      </c>
      <c r="C9" t="s">
        <v>20</v>
      </c>
      <c r="D9" t="str" cm="1">
        <f t="array" aca="1" ref="D9" ca="1">_xlfn.CONCAT("DT_", RIGHT(CELL("filename",P7),LEN(CELL("filename",P7))-FIND("]",CELL("filename",P7))),"_Event_", MotionlinxAI_Axis[[#This Row],[Name]])</f>
        <v>DT_MotionlinxAI_Axis_Event_HALL_SENSOR</v>
      </c>
    </row>
    <row r="10" spans="1:11" x14ac:dyDescent="0.25">
      <c r="A10" t="s">
        <v>116</v>
      </c>
      <c r="B10">
        <v>9</v>
      </c>
      <c r="C10" t="s">
        <v>20</v>
      </c>
      <c r="D10" t="str" cm="1">
        <f t="array" aca="1" ref="D10" ca="1">_xlfn.CONCAT("DT_", RIGHT(CELL("filename",P8),LEN(CELL("filename",P8))-FIND("]",CELL("filename",P8))),"_Event_", MotionlinxAI_Axis[[#This Row],[Name]])</f>
        <v>DT_MotionlinxAI_Axis_Event_OVER_VOLTAGE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0195E0-DF57-4188-AE35-F30EC637FA35}">
          <x14:formula1>
            <xm:f>Helper!$A$1:$A$6</xm:f>
          </x14:formula1>
          <xm:sqref>C1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A82F-9D9B-4150-B078-9CBCA4839413}">
  <dimension ref="A1:K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RowHeight="15" x14ac:dyDescent="0.25"/>
  <cols>
    <col min="1" max="1" width="20.7109375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34</v>
      </c>
      <c r="B2">
        <v>1</v>
      </c>
      <c r="C2" t="s">
        <v>19</v>
      </c>
      <c r="D2" t="s">
        <v>35</v>
      </c>
      <c r="E2" t="s">
        <v>36</v>
      </c>
    </row>
    <row r="3" spans="1:11" x14ac:dyDescent="0.25">
      <c r="A3" t="s">
        <v>49</v>
      </c>
      <c r="B3">
        <v>2</v>
      </c>
      <c r="C3" t="s">
        <v>21</v>
      </c>
      <c r="D3" t="str" cm="1">
        <f t="array" aca="1" ref="D3" ca="1">_xlfn.CONCAT("DT_", RIGHT(CELL("filename",P1),LEN(CELL("filename",P1))-FIND("]",CELL("filename",P1))),"_Event_", PullWheels[[#This Row],[Name]])</f>
        <v>DT_PullWheels_Event_StartTimeout</v>
      </c>
    </row>
    <row r="4" spans="1:11" x14ac:dyDescent="0.25">
      <c r="A4" t="s">
        <v>69</v>
      </c>
      <c r="B4">
        <v>3</v>
      </c>
      <c r="C4" t="s">
        <v>19</v>
      </c>
      <c r="D4" t="str" cm="1">
        <f t="array" aca="1" ref="D4" ca="1">_xlfn.CONCAT("DT_", RIGHT(CELL("filename",P2),LEN(CELL("filename",P2))-FIND("]",CELL("filename",P2))),"_Event_", PullWheels[[#This Row],[Name]])</f>
        <v>DT_PullWheels_Event_InfoMessage</v>
      </c>
    </row>
    <row r="5" spans="1:11" x14ac:dyDescent="0.25">
      <c r="A5" t="s">
        <v>70</v>
      </c>
      <c r="B5">
        <v>4</v>
      </c>
      <c r="C5" t="s">
        <v>20</v>
      </c>
      <c r="D5" t="str" cm="1">
        <f t="array" aca="1" ref="D5" ca="1">_xlfn.CONCAT("DT_", RIGHT(CELL("filename",P3),LEN(CELL("filename",P3))-FIND("]",CELL("filename",P3))),"_Event_", PullWheels[[#This Row],[Name]])</f>
        <v>DT_PullWheels_Event_WarnMessage</v>
      </c>
    </row>
    <row r="6" spans="1:11" x14ac:dyDescent="0.25">
      <c r="A6" t="s">
        <v>71</v>
      </c>
      <c r="B6">
        <v>5</v>
      </c>
      <c r="C6" t="s">
        <v>21</v>
      </c>
      <c r="D6" t="str" cm="1">
        <f t="array" aca="1" ref="D6" ca="1">_xlfn.CONCAT("DT_", RIGHT(CELL("filename",P4),LEN(CELL("filename",P4))-FIND("]",CELL("filename",P4))),"_Event_", PullWheels[[#This Row],[Name]])</f>
        <v>DT_PullWheels_Event_AlarmMessage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3CAD09-0E0D-4F67-AD33-A7DC7600027D}">
          <x14:formula1>
            <xm:f>Helper!$A$1:$A$6</xm:f>
          </x14:formula1>
          <xm:sqref>C1:C6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6C79-9E01-4CD7-A8CE-CA964E678FB7}">
  <dimension ref="A1:K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RowHeight="15" x14ac:dyDescent="0.25"/>
  <cols>
    <col min="1" max="1" width="24.5703125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34</v>
      </c>
      <c r="B2">
        <v>1</v>
      </c>
      <c r="C2" t="s">
        <v>19</v>
      </c>
      <c r="D2" t="s">
        <v>35</v>
      </c>
      <c r="E2" t="s">
        <v>36</v>
      </c>
    </row>
    <row r="3" spans="1:11" x14ac:dyDescent="0.25">
      <c r="A3" t="s">
        <v>47</v>
      </c>
      <c r="B3">
        <v>2</v>
      </c>
      <c r="C3" t="s">
        <v>20</v>
      </c>
      <c r="D3" t="str" cm="1">
        <f t="array" aca="1" ref="D3" ca="1">_xlfn.CONCAT("DT_", RIGHT(CELL("filename",P1),LEN(CELL("filename",P1))-FIND("]",CELL("filename",P1))),"_Event_", Sealer[[#This Row],[Name]])</f>
        <v>DT_Sealer_Event_TemeratureOutOfRange</v>
      </c>
    </row>
    <row r="4" spans="1:11" x14ac:dyDescent="0.25">
      <c r="A4" t="s">
        <v>48</v>
      </c>
      <c r="B4">
        <v>3</v>
      </c>
      <c r="C4" t="s">
        <v>21</v>
      </c>
      <c r="D4" t="str" cm="1">
        <f t="array" aca="1" ref="D4" ca="1">_xlfn.CONCAT("DT_", RIGHT(CELL("filename",P2),LEN(CELL("filename",P2))-FIND("]",CELL("filename",P2))),"_Event_", Sealer[[#This Row],[Name]])</f>
        <v>DT_Sealer_Event_FeedbackError</v>
      </c>
    </row>
    <row r="5" spans="1:11" x14ac:dyDescent="0.25">
      <c r="A5" t="s">
        <v>69</v>
      </c>
      <c r="B5">
        <v>4</v>
      </c>
      <c r="C5" t="s">
        <v>19</v>
      </c>
      <c r="D5" t="str" cm="1">
        <f t="array" aca="1" ref="D5" ca="1">_xlfn.CONCAT("DT_", RIGHT(CELL("filename",P3),LEN(CELL("filename",P3))-FIND("]",CELL("filename",P3))),"_Event_", Sealer[[#This Row],[Name]])</f>
        <v>DT_Sealer_Event_InfoMessage</v>
      </c>
    </row>
    <row r="6" spans="1:11" x14ac:dyDescent="0.25">
      <c r="A6" t="s">
        <v>70</v>
      </c>
      <c r="B6">
        <v>5</v>
      </c>
      <c r="C6" t="s">
        <v>20</v>
      </c>
      <c r="D6" t="str" cm="1">
        <f t="array" aca="1" ref="D6" ca="1">_xlfn.CONCAT("DT_", RIGHT(CELL("filename",P4),LEN(CELL("filename",P4))-FIND("]",CELL("filename",P4))),"_Event_", Sealer[[#This Row],[Name]])</f>
        <v>DT_Sealer_Event_WarnMessage</v>
      </c>
    </row>
    <row r="7" spans="1:11" x14ac:dyDescent="0.25">
      <c r="A7" t="s">
        <v>71</v>
      </c>
      <c r="B7">
        <v>6</v>
      </c>
      <c r="C7" t="s">
        <v>21</v>
      </c>
      <c r="D7" t="str" cm="1">
        <f t="array" aca="1" ref="D7" ca="1">_xlfn.CONCAT("DT_", RIGHT(CELL("filename",P5),LEN(CELL("filename",P5))-FIND("]",CELL("filename",P5))),"_Event_", Sealer[[#This Row],[Name]])</f>
        <v>DT_Sealer_Event_AlarmMessage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F4F559-4996-43C9-965D-0E902E4C1FFF}">
          <x14:formula1>
            <xm:f>Helper!$A$1:$A$6</xm:f>
          </x14:formula1>
          <xm:sqref>C1:C7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1453-E0BB-40A1-AEBC-D5CF966FAC06}">
  <dimension ref="A1:K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:D6"/>
    </sheetView>
  </sheetViews>
  <sheetFormatPr defaultRowHeight="15" x14ac:dyDescent="0.25"/>
  <cols>
    <col min="1" max="1" width="20.7109375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34</v>
      </c>
      <c r="B2">
        <v>1</v>
      </c>
      <c r="C2" t="s">
        <v>19</v>
      </c>
      <c r="D2" t="s">
        <v>35</v>
      </c>
      <c r="E2" t="s">
        <v>36</v>
      </c>
    </row>
    <row r="3" spans="1:11" x14ac:dyDescent="0.25">
      <c r="A3" t="s">
        <v>49</v>
      </c>
      <c r="B3">
        <v>2</v>
      </c>
      <c r="C3" t="s">
        <v>21</v>
      </c>
      <c r="D3" t="str" cm="1">
        <f t="array" aca="1" ref="D3" ca="1">_xlfn.CONCAT("DT_", RIGHT(CELL("filename",P1),LEN(CELL("filename",P1))-FIND("]",CELL("filename",P1))),"_Event_", Unwind[[#This Row],[Name]])</f>
        <v>DT_Unwind_Event_StartTimeout</v>
      </c>
    </row>
    <row r="4" spans="1:11" x14ac:dyDescent="0.25">
      <c r="A4" t="s">
        <v>69</v>
      </c>
      <c r="B4">
        <v>3</v>
      </c>
      <c r="C4" t="s">
        <v>19</v>
      </c>
      <c r="D4" t="str" cm="1">
        <f t="array" aca="1" ref="D4" ca="1">_xlfn.CONCAT("DT_", RIGHT(CELL("filename",P2),LEN(CELL("filename",P2))-FIND("]",CELL("filename",P2))),"_Event_", Unwind[[#This Row],[Name]])</f>
        <v>DT_Unwind_Event_InfoMessage</v>
      </c>
    </row>
    <row r="5" spans="1:11" x14ac:dyDescent="0.25">
      <c r="A5" t="s">
        <v>70</v>
      </c>
      <c r="B5">
        <v>4</v>
      </c>
      <c r="C5" t="s">
        <v>20</v>
      </c>
      <c r="D5" t="str" cm="1">
        <f t="array" aca="1" ref="D5" ca="1">_xlfn.CONCAT("DT_", RIGHT(CELL("filename",P3),LEN(CELL("filename",P3))-FIND("]",CELL("filename",P3))),"_Event_", Unwind[[#This Row],[Name]])</f>
        <v>DT_Unwind_Event_WarnMessage</v>
      </c>
    </row>
    <row r="6" spans="1:11" x14ac:dyDescent="0.25">
      <c r="A6" t="s">
        <v>71</v>
      </c>
      <c r="B6">
        <v>5</v>
      </c>
      <c r="C6" t="s">
        <v>21</v>
      </c>
      <c r="D6" t="str" cm="1">
        <f t="array" aca="1" ref="D6" ca="1">_xlfn.CONCAT("DT_", RIGHT(CELL("filename",P4),LEN(CELL("filename",P4))-FIND("]",CELL("filename",P4))),"_Event_", Unwind[[#This Row],[Name]])</f>
        <v>DT_Unwind_Event_AlarmMessage</v>
      </c>
    </row>
    <row r="7" spans="1:11" x14ac:dyDescent="0.25">
      <c r="D7" s="1"/>
    </row>
  </sheetData>
  <dataValidations disablePrompts="1" count="1">
    <dataValidation type="list" allowBlank="1" showInputMessage="1" showErrorMessage="1" sqref="C2" xr:uid="{37C44543-1BD6-4CB8-9FB9-26B4C6384176}">
      <formula1>" =Helper!$A$1:$A$6"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87C7D96-2BF2-423D-B4B0-972FDDE20B3F}">
          <x14:formula1>
            <xm:f>Helper!$A$1:$A$6</xm:f>
          </x14:formula1>
          <xm:sqref>C1 C3:C6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1285-F25B-4DAA-9209-E457B9B850CF}">
  <dimension ref="A1:K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1" sqref="D21"/>
    </sheetView>
  </sheetViews>
  <sheetFormatPr defaultRowHeight="15" x14ac:dyDescent="0.25"/>
  <cols>
    <col min="1" max="1" width="20.7109375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34</v>
      </c>
      <c r="B2">
        <v>1</v>
      </c>
      <c r="C2" t="s">
        <v>19</v>
      </c>
      <c r="D2" t="s">
        <v>35</v>
      </c>
      <c r="E2" t="s">
        <v>36</v>
      </c>
    </row>
    <row r="3" spans="1:11" x14ac:dyDescent="0.25">
      <c r="A3" t="s">
        <v>45</v>
      </c>
      <c r="B3">
        <v>2</v>
      </c>
      <c r="C3" t="s">
        <v>21</v>
      </c>
      <c r="D3" t="str" cm="1">
        <f t="array" aca="1" ref="D3" ca="1">_xlfn.CONCAT("DT_", RIGHT(CELL("filename",P1),LEN(CELL("filename",P1))-FIND("]",CELL("filename",P1))),"_Event_", DemoSystem[[#This Row],[Name]])</f>
        <v>DT_DemoSystem_Event_EmergencyStop</v>
      </c>
    </row>
    <row r="4" spans="1:11" x14ac:dyDescent="0.25">
      <c r="A4" t="s">
        <v>46</v>
      </c>
      <c r="B4">
        <v>3</v>
      </c>
      <c r="C4" t="s">
        <v>21</v>
      </c>
      <c r="D4" t="str" cm="1">
        <f t="array" aca="1" ref="D4" ca="1">_xlfn.CONCAT("DT_", RIGHT(CELL("filename",P2),LEN(CELL("filename",P2))-FIND("]",CELL("filename",P2))),"_Event_", DemoSystem[[#This Row],[Name]])</f>
        <v>DT_DemoSystem_Event_LowAir</v>
      </c>
    </row>
    <row r="5" spans="1:11" x14ac:dyDescent="0.25">
      <c r="A5" t="s">
        <v>69</v>
      </c>
      <c r="B5">
        <v>4</v>
      </c>
      <c r="C5" t="s">
        <v>19</v>
      </c>
      <c r="D5" t="str" cm="1">
        <f t="array" aca="1" ref="D5" ca="1">_xlfn.CONCAT("DT_", RIGHT(CELL("filename",P3),LEN(CELL("filename",P3))-FIND("]",CELL("filename",P3))),"_Event_", DemoSystem[[#This Row],[Name]])</f>
        <v>DT_DemoSystem_Event_InfoMessage</v>
      </c>
    </row>
    <row r="6" spans="1:11" x14ac:dyDescent="0.25">
      <c r="A6" t="s">
        <v>70</v>
      </c>
      <c r="B6">
        <v>5</v>
      </c>
      <c r="C6" t="s">
        <v>20</v>
      </c>
      <c r="D6" t="str" cm="1">
        <f t="array" aca="1" ref="D6" ca="1">_xlfn.CONCAT("DT_", RIGHT(CELL("filename",P4),LEN(CELL("filename",P4))-FIND("]",CELL("filename",P4))),"_Event_", DemoSystem[[#This Row],[Name]])</f>
        <v>DT_DemoSystem_Event_WarnMessage</v>
      </c>
    </row>
    <row r="7" spans="1:11" x14ac:dyDescent="0.25">
      <c r="A7" t="s">
        <v>71</v>
      </c>
      <c r="B7">
        <v>6</v>
      </c>
      <c r="C7" t="s">
        <v>21</v>
      </c>
      <c r="D7" t="str" cm="1">
        <f t="array" aca="1" ref="D7" ca="1">_xlfn.CONCAT("DT_", RIGHT(CELL("filename",P5),LEN(CELL("filename",P5))-FIND("]",CELL("filename",P5))),"_Event_", DemoSystem[[#This Row],[Name]])</f>
        <v>DT_DemoSystem_Event_AlarmMessage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F8184E-B742-4BA2-9A74-071524E5C019}">
          <x14:formula1>
            <xm:f>Helper!$A$1:$A$6</xm:f>
          </x14:formula1>
          <xm:sqref>C1:C7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0279-12EC-4C17-AEE7-11F64FC65A47}">
  <dimension ref="A1:K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RowHeight="15" x14ac:dyDescent="0.25"/>
  <cols>
    <col min="1" max="1" width="20.7109375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34</v>
      </c>
      <c r="B2">
        <v>1</v>
      </c>
      <c r="C2" t="s">
        <v>19</v>
      </c>
      <c r="D2" t="s">
        <v>35</v>
      </c>
      <c r="E2" t="s">
        <v>36</v>
      </c>
    </row>
    <row r="3" spans="1:11" x14ac:dyDescent="0.25">
      <c r="A3" t="s">
        <v>30</v>
      </c>
      <c r="B3">
        <v>2</v>
      </c>
      <c r="C3" t="s">
        <v>21</v>
      </c>
      <c r="D3" t="str" cm="1">
        <f t="array" aca="1" ref="D3" ca="1">_xlfn.CONCAT("DT_", RIGHT(CELL("filename",P1),LEN(CELL("filename",P1))-FIND("]",CELL("filename",P1))),"_Event_", TemplateEventClass[[#This Row],[Name]])</f>
        <v>DT_TemplateEventClass_Event_Bravo</v>
      </c>
    </row>
    <row r="4" spans="1:11" x14ac:dyDescent="0.25">
      <c r="A4" t="s">
        <v>31</v>
      </c>
      <c r="B4">
        <v>3</v>
      </c>
      <c r="C4" t="s">
        <v>20</v>
      </c>
      <c r="D4" t="str" cm="1">
        <f t="array" aca="1" ref="D4" ca="1">_xlfn.CONCAT("DT_", RIGHT(CELL("filename",P2),LEN(CELL("filename",P2))-FIND("]",CELL("filename",P2))),"_Event_", TemplateEventClass[[#This Row],[Name]])</f>
        <v>DT_TemplateEventClass_Event_Charlie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783768-5955-41BD-89E1-E2D0D2377B1E}">
          <x14:formula1>
            <xm:f>Helper!$A$1:$A$6</xm:f>
          </x14:formula1>
          <xm:sqref>C1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0EEA-54D7-4D7F-AA64-CDC0294BB65F}">
  <dimension ref="A1:B14"/>
  <sheetViews>
    <sheetView workbookViewId="0"/>
  </sheetViews>
  <sheetFormatPr defaultRowHeight="15" x14ac:dyDescent="0.25"/>
  <cols>
    <col min="1" max="1" width="17.5703125" bestFit="1" customWidth="1"/>
    <col min="2" max="2" width="41.28515625" bestFit="1" customWidth="1"/>
  </cols>
  <sheetData>
    <row r="1" spans="1:2" x14ac:dyDescent="0.25">
      <c r="A1" t="s">
        <v>16</v>
      </c>
      <c r="B1" t="s">
        <v>13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37</v>
      </c>
      <c r="B5" t="s">
        <v>38</v>
      </c>
    </row>
    <row r="6" spans="1:2" x14ac:dyDescent="0.25">
      <c r="A6" t="s">
        <v>43</v>
      </c>
      <c r="B6" t="s">
        <v>62</v>
      </c>
    </row>
    <row r="7" spans="1:2" x14ac:dyDescent="0.25">
      <c r="A7" t="s">
        <v>37</v>
      </c>
      <c r="B7" t="s">
        <v>63</v>
      </c>
    </row>
    <row r="8" spans="1:2" x14ac:dyDescent="0.25">
      <c r="A8" t="s">
        <v>39</v>
      </c>
      <c r="B8" t="s">
        <v>60</v>
      </c>
    </row>
    <row r="9" spans="1:2" x14ac:dyDescent="0.25">
      <c r="A9" t="s">
        <v>41</v>
      </c>
      <c r="B9" t="s">
        <v>61</v>
      </c>
    </row>
    <row r="10" spans="1:2" x14ac:dyDescent="0.25">
      <c r="A10" t="s">
        <v>43</v>
      </c>
      <c r="B10" t="s">
        <v>67</v>
      </c>
    </row>
    <row r="11" spans="1:2" x14ac:dyDescent="0.25">
      <c r="A11" t="s">
        <v>37</v>
      </c>
      <c r="B11" t="s">
        <v>68</v>
      </c>
    </row>
    <row r="12" spans="1:2" x14ac:dyDescent="0.25">
      <c r="A12" t="s">
        <v>41</v>
      </c>
      <c r="B12" t="s">
        <v>88</v>
      </c>
    </row>
    <row r="13" spans="1:2" x14ac:dyDescent="0.25">
      <c r="A13" t="s">
        <v>98</v>
      </c>
      <c r="B13" t="s">
        <v>100</v>
      </c>
    </row>
    <row r="14" spans="1:2" x14ac:dyDescent="0.25">
      <c r="A14" t="s">
        <v>98</v>
      </c>
      <c r="B14" t="s">
        <v>117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A06A-21D6-4DB3-9CFB-1C88F305F25A}">
  <dimension ref="A1:A6"/>
  <sheetViews>
    <sheetView workbookViewId="0"/>
  </sheetViews>
  <sheetFormatPr defaultRowHeight="15" x14ac:dyDescent="0.25"/>
  <cols>
    <col min="1" max="1" width="11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1F2D-3D07-496A-9267-9C3EBC24D1D1}">
  <dimension ref="A1:C7"/>
  <sheetViews>
    <sheetView workbookViewId="0"/>
  </sheetViews>
  <sheetFormatPr defaultRowHeight="15" x14ac:dyDescent="0.25"/>
  <cols>
    <col min="1" max="3" width="11" customWidth="1"/>
  </cols>
  <sheetData>
    <row r="1" spans="1:3" x14ac:dyDescent="0.25">
      <c r="A1" t="s">
        <v>11</v>
      </c>
      <c r="B1" t="s">
        <v>32</v>
      </c>
      <c r="C1" t="s">
        <v>33</v>
      </c>
    </row>
    <row r="2" spans="1:3" x14ac:dyDescent="0.25">
      <c r="A2" t="s">
        <v>39</v>
      </c>
      <c r="B2">
        <v>430722343</v>
      </c>
      <c r="C2">
        <v>380818790</v>
      </c>
    </row>
    <row r="3" spans="1:3" x14ac:dyDescent="0.25">
      <c r="A3" t="s">
        <v>43</v>
      </c>
      <c r="B3">
        <v>104680561</v>
      </c>
      <c r="C3">
        <v>-856980695</v>
      </c>
    </row>
    <row r="4" spans="1:3" x14ac:dyDescent="0.25">
      <c r="A4" t="s">
        <v>37</v>
      </c>
      <c r="B4">
        <v>-1015308772</v>
      </c>
      <c r="C4">
        <v>-1701490323</v>
      </c>
    </row>
    <row r="5" spans="1:3" x14ac:dyDescent="0.25">
      <c r="A5" t="s">
        <v>41</v>
      </c>
      <c r="B5">
        <v>1748994275</v>
      </c>
      <c r="C5">
        <v>1232472264</v>
      </c>
    </row>
    <row r="6" spans="1:3" x14ac:dyDescent="0.25">
      <c r="A6" t="s">
        <v>101</v>
      </c>
      <c r="B6">
        <v>1731421895</v>
      </c>
      <c r="C6">
        <v>1866186477</v>
      </c>
    </row>
    <row r="7" spans="1:3" x14ac:dyDescent="0.25">
      <c r="A7" t="s">
        <v>98</v>
      </c>
      <c r="B7">
        <v>-134006396</v>
      </c>
      <c r="C7">
        <v>1866186477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Translations</vt:lpstr>
      <vt:lpstr>EventClasses</vt:lpstr>
      <vt:lpstr>MotionlinxAI_Axis</vt:lpstr>
      <vt:lpstr>PullWheels</vt:lpstr>
      <vt:lpstr>Sealer</vt:lpstr>
      <vt:lpstr>Unwind</vt:lpstr>
      <vt:lpstr>DemoSystem</vt:lpstr>
      <vt:lpstr>TemplateEventClass</vt:lpstr>
      <vt:lpstr>HiddenDataTypes</vt:lpstr>
      <vt:lpstr>Helper</vt:lpstr>
      <vt:lpstr>EventClassHashTable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Baker</dc:creator>
  <cp:lastModifiedBy>Jon</cp:lastModifiedBy>
  <dcterms:created xsi:type="dcterms:W3CDTF">2022-09-21T12:10:07Z</dcterms:created>
  <dcterms:modified xsi:type="dcterms:W3CDTF">2026-04-09T16:02:56Z</dcterms:modified>
</cp:coreProperties>
</file>